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racked Values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<sst xmlns="http://schemas.openxmlformats.org/spreadsheetml/2006/main" count="81" uniqueCount="43">
  <si>
    <t>range</t>
  </si>
  <si>
    <t>Hex</t>
  </si>
  <si>
    <t>Dec</t>
  </si>
  <si>
    <t>Plus</t>
  </si>
  <si>
    <t>Dec Divided</t>
  </si>
  <si>
    <t>Plus Divided</t>
  </si>
  <si>
    <t>Expected</t>
  </si>
  <si>
    <t>Dec Diff</t>
  </si>
  <si>
    <t>Plus Diff</t>
  </si>
  <si>
    <t>3a</t>
  </si>
  <si>
    <t>c7</t>
  </si>
  <si>
    <t>0f</t>
  </si>
  <si>
    <t>df</t>
  </si>
  <si>
    <t>add</t>
  </si>
  <si>
    <t>times</t>
  </si>
  <si>
    <t>round</t>
  </si>
  <si>
    <t>Divide</t>
  </si>
  <si>
    <t>Want</t>
  </si>
  <si>
    <t>mult</t>
  </si>
  <si>
    <t>div</t>
  </si>
  <si>
    <t>floor</t>
  </si>
  <si>
    <t>Add</t>
  </si>
  <si>
    <t>Times</t>
  </si>
  <si>
    <t>IN</t>
  </si>
  <si>
    <t>saved</t>
  </si>
  <si>
    <t>OUT</t>
  </si>
  <si>
    <t>+1</t>
  </si>
  <si>
    <t>Source</t>
  </si>
  <si>
    <t>Saved - Hex</t>
  </si>
  <si>
    <t>Saved - Dec</t>
  </si>
  <si>
    <t>On Screen</t>
  </si>
  <si>
    <t>Factor</t>
  </si>
  <si>
    <t>Low</t>
  </si>
  <si>
    <t>High</t>
  </si>
  <si>
    <t>Fail?</t>
  </si>
  <si>
    <t>Tyler</t>
  </si>
  <si>
    <t>Unk</t>
  </si>
  <si>
    <t>12</t>
  </si>
  <si>
    <t>1f</t>
  </si>
  <si>
    <t>c2</t>
  </si>
  <si>
    <t>e7</t>
  </si>
  <si>
    <t>Decimal Value</t>
  </si>
  <si>
    <t>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</si>
</sst>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>
        <f>255/5.5</f>
        <v>46.36363636</v>
      </c>
    </row>
    <row r="4">
      <c r="D4" s="1">
        <v>1.0</v>
      </c>
      <c r="E4" s="1">
        <v>46.2962963</v>
      </c>
      <c r="M4" s="1">
        <v>1.0</v>
      </c>
      <c r="N4" s="1">
        <v>46.2962963</v>
      </c>
    </row>
    <row r="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K5" s="1" t="s">
        <v>1</v>
      </c>
      <c r="L5" s="1" t="s">
        <v>2</v>
      </c>
      <c r="M5" s="1" t="s">
        <v>3</v>
      </c>
      <c r="N5" s="1" t="s">
        <v>4</v>
      </c>
      <c r="O5" s="1" t="s">
        <v>5</v>
      </c>
      <c r="P5" s="1" t="s">
        <v>6</v>
      </c>
      <c r="Q5" s="1" t="s">
        <v>7</v>
      </c>
      <c r="R5" s="1" t="s">
        <v>8</v>
      </c>
    </row>
    <row r="6">
      <c r="B6" s="1" t="s">
        <v>9</v>
      </c>
      <c r="C6" s="2">
        <f t="shared" ref="C6:C9" si="3">hex2dec(B6)</f>
        <v>58</v>
      </c>
      <c r="D6" s="2">
        <f t="shared" ref="D6:D9" si="4">C6+$M$4</f>
        <v>59</v>
      </c>
      <c r="E6" s="2">
        <f t="shared" ref="E6:F6" si="1">C6/$N$4</f>
        <v>1.2528</v>
      </c>
      <c r="F6" s="1">
        <f t="shared" si="1"/>
        <v>1.2744</v>
      </c>
      <c r="G6" s="1">
        <v>1.27</v>
      </c>
      <c r="H6" s="2">
        <f t="shared" ref="H6:H9" si="6">abs(E6-G6)</f>
        <v>0.0172000001</v>
      </c>
      <c r="I6" s="2">
        <f t="shared" ref="I6:I9" si="7">abs(F6-G6)</f>
        <v>0.004399999898</v>
      </c>
      <c r="K6" s="1" t="s">
        <v>9</v>
      </c>
      <c r="L6" s="2">
        <f t="shared" ref="L6:L9" si="8">hex2dec(K6)</f>
        <v>58</v>
      </c>
      <c r="M6" s="2">
        <f t="shared" ref="M6:M9" si="9">L6+$M$4</f>
        <v>59</v>
      </c>
      <c r="N6" s="2">
        <f t="shared" ref="N6:O6" si="2">L6/$N$4</f>
        <v>1.2528</v>
      </c>
      <c r="O6" s="1">
        <f t="shared" si="2"/>
        <v>1.2744</v>
      </c>
      <c r="P6" s="1">
        <v>1.27</v>
      </c>
      <c r="Q6" s="2">
        <f t="shared" ref="Q6:Q9" si="11">abs(N6-P6)</f>
        <v>0.0172000001</v>
      </c>
      <c r="R6" s="2">
        <f t="shared" ref="R6:R9" si="12">abs(O6-P6)</f>
        <v>0.004399999898</v>
      </c>
    </row>
    <row r="7">
      <c r="B7" s="1" t="s">
        <v>10</v>
      </c>
      <c r="C7" s="2">
        <f t="shared" si="3"/>
        <v>199</v>
      </c>
      <c r="D7" s="2">
        <f t="shared" si="4"/>
        <v>200</v>
      </c>
      <c r="E7" s="2">
        <f t="shared" ref="E7:F7" si="5">C7/$N$4</f>
        <v>4.2984</v>
      </c>
      <c r="F7" s="1">
        <f t="shared" si="5"/>
        <v>4.32</v>
      </c>
      <c r="G7" s="1">
        <v>4.31</v>
      </c>
      <c r="H7" s="2">
        <f t="shared" si="6"/>
        <v>0.01160000034</v>
      </c>
      <c r="I7" s="2">
        <f t="shared" si="7"/>
        <v>0.009999999654</v>
      </c>
      <c r="K7" s="1" t="s">
        <v>10</v>
      </c>
      <c r="L7" s="2">
        <f t="shared" si="8"/>
        <v>199</v>
      </c>
      <c r="M7" s="2">
        <f t="shared" si="9"/>
        <v>200</v>
      </c>
      <c r="N7" s="2">
        <f t="shared" ref="N7:O7" si="10">L7/$N$4</f>
        <v>4.2984</v>
      </c>
      <c r="O7" s="1">
        <f t="shared" si="10"/>
        <v>4.32</v>
      </c>
      <c r="P7" s="1">
        <v>4.31</v>
      </c>
      <c r="Q7" s="2">
        <f t="shared" si="11"/>
        <v>0.01160000034</v>
      </c>
      <c r="R7" s="2">
        <f t="shared" si="12"/>
        <v>0.009999999654</v>
      </c>
    </row>
    <row r="8">
      <c r="B8" s="1" t="s">
        <v>11</v>
      </c>
      <c r="C8" s="2">
        <f t="shared" si="3"/>
        <v>15</v>
      </c>
      <c r="D8" s="2">
        <f t="shared" si="4"/>
        <v>16</v>
      </c>
      <c r="E8" s="2">
        <f t="shared" ref="E8:F8" si="13">C8/$N$4</f>
        <v>0.324</v>
      </c>
      <c r="F8" s="1">
        <f t="shared" si="13"/>
        <v>0.3456</v>
      </c>
      <c r="G8" s="1">
        <v>0.34</v>
      </c>
      <c r="H8" s="2">
        <f t="shared" si="6"/>
        <v>0.01600000003</v>
      </c>
      <c r="I8" s="2">
        <f t="shared" si="7"/>
        <v>0.005599999972</v>
      </c>
      <c r="K8" s="1" t="s">
        <v>11</v>
      </c>
      <c r="L8" s="2">
        <f t="shared" si="8"/>
        <v>15</v>
      </c>
      <c r="M8" s="2">
        <f t="shared" si="9"/>
        <v>16</v>
      </c>
      <c r="N8" s="2">
        <f t="shared" ref="N8:O8" si="14">L8/$N$4</f>
        <v>0.324</v>
      </c>
      <c r="O8" s="1">
        <f t="shared" si="14"/>
        <v>0.3456</v>
      </c>
      <c r="P8" s="1">
        <v>0.34</v>
      </c>
      <c r="Q8" s="2">
        <f t="shared" si="11"/>
        <v>0.01600000003</v>
      </c>
      <c r="R8" s="2">
        <f t="shared" si="12"/>
        <v>0.005599999972</v>
      </c>
    </row>
    <row r="9">
      <c r="B9" s="1" t="s">
        <v>12</v>
      </c>
      <c r="C9" s="2">
        <f t="shared" si="3"/>
        <v>223</v>
      </c>
      <c r="D9" s="2">
        <f t="shared" si="4"/>
        <v>224</v>
      </c>
      <c r="E9" s="2">
        <f t="shared" ref="E9:F9" si="15">C9/$N$4</f>
        <v>4.8168</v>
      </c>
      <c r="F9" s="1">
        <f t="shared" si="15"/>
        <v>4.8384</v>
      </c>
      <c r="G9" s="1">
        <v>4.82</v>
      </c>
      <c r="H9" s="2">
        <f t="shared" si="6"/>
        <v>0.003200000385</v>
      </c>
      <c r="I9" s="2">
        <f t="shared" si="7"/>
        <v>0.01839999961</v>
      </c>
      <c r="K9" s="1" t="s">
        <v>12</v>
      </c>
      <c r="L9" s="2">
        <f t="shared" si="8"/>
        <v>223</v>
      </c>
      <c r="M9" s="2">
        <f t="shared" si="9"/>
        <v>224</v>
      </c>
      <c r="N9" s="2">
        <f t="shared" ref="N9:O9" si="16">L9/$N$4</f>
        <v>4.8168</v>
      </c>
      <c r="O9" s="1">
        <f t="shared" si="16"/>
        <v>4.8384</v>
      </c>
      <c r="P9" s="1">
        <v>4.82</v>
      </c>
      <c r="Q9" s="2">
        <f t="shared" si="11"/>
        <v>0.003200000385</v>
      </c>
      <c r="R9" s="2">
        <f t="shared" si="12"/>
        <v>0.01839999961</v>
      </c>
    </row>
    <row r="13">
      <c r="C13" s="1">
        <v>1.0</v>
      </c>
      <c r="D13" s="1">
        <v>2.154</v>
      </c>
      <c r="E13" s="1">
        <v>0.0</v>
      </c>
      <c r="G13" s="1">
        <v>100.0</v>
      </c>
    </row>
    <row r="14">
      <c r="C14" s="1" t="s">
        <v>13</v>
      </c>
      <c r="D14" s="1" t="s">
        <v>14</v>
      </c>
      <c r="E14" s="1" t="s">
        <v>13</v>
      </c>
      <c r="F14" s="1" t="s">
        <v>15</v>
      </c>
      <c r="G14" s="1" t="s">
        <v>16</v>
      </c>
      <c r="H14" s="1" t="s">
        <v>17</v>
      </c>
    </row>
    <row r="15">
      <c r="B15" s="2">
        <v>58.0</v>
      </c>
      <c r="C15" s="2">
        <f t="shared" ref="C15:C18" si="17">B15+$C$13</f>
        <v>59</v>
      </c>
      <c r="D15" s="2">
        <f t="shared" ref="D15:D18" si="18">C15*$D$13</f>
        <v>127.086</v>
      </c>
      <c r="E15" s="2">
        <f t="shared" ref="E15:E18" si="19">D15+$E$13</f>
        <v>127.086</v>
      </c>
      <c r="F15" s="2">
        <f t="shared" ref="F15:F18" si="20">round(E15,0)</f>
        <v>127</v>
      </c>
      <c r="G15" s="2">
        <f t="shared" ref="G15:G18" si="21">F15/$G$13</f>
        <v>1.27</v>
      </c>
      <c r="H15" s="1">
        <v>1.27</v>
      </c>
      <c r="M15" s="2">
        <f>1/0.0216</f>
        <v>46.2962963</v>
      </c>
    </row>
    <row r="16">
      <c r="B16" s="2">
        <v>199.0</v>
      </c>
      <c r="C16" s="2">
        <f t="shared" si="17"/>
        <v>200</v>
      </c>
      <c r="D16" s="2">
        <f t="shared" si="18"/>
        <v>430.8</v>
      </c>
      <c r="E16" s="2">
        <f t="shared" si="19"/>
        <v>430.8</v>
      </c>
      <c r="F16" s="2">
        <f t="shared" si="20"/>
        <v>431</v>
      </c>
      <c r="G16" s="2">
        <f t="shared" si="21"/>
        <v>4.31</v>
      </c>
      <c r="H16" s="1">
        <v>4.31</v>
      </c>
    </row>
    <row r="17">
      <c r="B17" s="2">
        <v>15.0</v>
      </c>
      <c r="C17" s="2">
        <f t="shared" si="17"/>
        <v>16</v>
      </c>
      <c r="D17" s="2">
        <f t="shared" si="18"/>
        <v>34.464</v>
      </c>
      <c r="E17" s="2">
        <f t="shared" si="19"/>
        <v>34.464</v>
      </c>
      <c r="F17" s="2">
        <f t="shared" si="20"/>
        <v>34</v>
      </c>
      <c r="G17" s="2">
        <f t="shared" si="21"/>
        <v>0.34</v>
      </c>
      <c r="H17" s="1">
        <v>0.34</v>
      </c>
    </row>
    <row r="18">
      <c r="B18" s="2">
        <v>223.0</v>
      </c>
      <c r="C18" s="2">
        <f t="shared" si="17"/>
        <v>224</v>
      </c>
      <c r="D18" s="2">
        <f t="shared" si="18"/>
        <v>482.496</v>
      </c>
      <c r="E18" s="2">
        <f t="shared" si="19"/>
        <v>482.496</v>
      </c>
      <c r="F18" s="2">
        <f t="shared" si="20"/>
        <v>482</v>
      </c>
      <c r="G18" s="2">
        <f t="shared" si="21"/>
        <v>4.82</v>
      </c>
      <c r="H18" s="1">
        <v>4.82</v>
      </c>
    </row>
    <row r="22">
      <c r="C22" s="1">
        <v>1.0</v>
      </c>
      <c r="D22" s="1">
        <v>0.0216</v>
      </c>
      <c r="I22" s="1">
        <v>0.0</v>
      </c>
      <c r="J22" s="1">
        <v>0.0216</v>
      </c>
    </row>
    <row r="23">
      <c r="C23" s="1" t="s">
        <v>18</v>
      </c>
      <c r="D23" s="1" t="s">
        <v>19</v>
      </c>
      <c r="E23" s="1" t="s">
        <v>20</v>
      </c>
      <c r="F23" s="1" t="s">
        <v>17</v>
      </c>
      <c r="I23" s="1" t="s">
        <v>21</v>
      </c>
      <c r="J23" s="1" t="s">
        <v>22</v>
      </c>
      <c r="K23" s="1" t="s">
        <v>17</v>
      </c>
    </row>
    <row r="24">
      <c r="B24" s="1">
        <v>1.27</v>
      </c>
      <c r="C24" s="2">
        <f t="shared" ref="C24:C27" si="22">B24*$C$22</f>
        <v>1.27</v>
      </c>
      <c r="D24" s="2">
        <f t="shared" ref="D24:D27" si="23">C24/$D$22</f>
        <v>58.7962963</v>
      </c>
      <c r="E24" s="2">
        <f t="shared" ref="E24:E27" si="24">floor(D24,1)</f>
        <v>58</v>
      </c>
      <c r="F24" s="1">
        <v>58.0</v>
      </c>
      <c r="H24" s="1">
        <v>58.0</v>
      </c>
      <c r="I24" s="2">
        <f t="shared" ref="I24:I27" si="25">H24+$I$22</f>
        <v>58</v>
      </c>
      <c r="J24" s="2">
        <f t="shared" ref="J24:J27" si="26">I24*$J$22</f>
        <v>1.2528</v>
      </c>
      <c r="K24" s="1">
        <v>1.27</v>
      </c>
    </row>
    <row r="25">
      <c r="B25" s="1">
        <v>4.31</v>
      </c>
      <c r="C25" s="2">
        <f t="shared" si="22"/>
        <v>4.31</v>
      </c>
      <c r="D25" s="2">
        <f t="shared" si="23"/>
        <v>199.537037</v>
      </c>
      <c r="E25" s="2">
        <f t="shared" si="24"/>
        <v>199</v>
      </c>
      <c r="F25" s="1">
        <v>199.0</v>
      </c>
      <c r="H25" s="1">
        <v>199.0</v>
      </c>
      <c r="I25" s="2">
        <f t="shared" si="25"/>
        <v>199</v>
      </c>
      <c r="J25" s="2">
        <f t="shared" si="26"/>
        <v>4.2984</v>
      </c>
      <c r="K25" s="1">
        <v>4.31</v>
      </c>
    </row>
    <row r="26">
      <c r="B26" s="1">
        <v>0.34</v>
      </c>
      <c r="C26" s="2">
        <f t="shared" si="22"/>
        <v>0.34</v>
      </c>
      <c r="D26" s="2">
        <f t="shared" si="23"/>
        <v>15.74074074</v>
      </c>
      <c r="E26" s="2">
        <f t="shared" si="24"/>
        <v>15</v>
      </c>
      <c r="F26" s="1">
        <v>15.0</v>
      </c>
      <c r="H26" s="1">
        <v>15.0</v>
      </c>
      <c r="I26" s="2">
        <f t="shared" si="25"/>
        <v>15</v>
      </c>
      <c r="J26" s="2">
        <f t="shared" si="26"/>
        <v>0.324</v>
      </c>
      <c r="K26" s="1">
        <v>0.34</v>
      </c>
    </row>
    <row r="27">
      <c r="B27" s="1">
        <v>4.82</v>
      </c>
      <c r="C27" s="2">
        <f t="shared" si="22"/>
        <v>4.82</v>
      </c>
      <c r="D27" s="2">
        <f t="shared" si="23"/>
        <v>223.1481481</v>
      </c>
      <c r="E27" s="2">
        <f t="shared" si="24"/>
        <v>223</v>
      </c>
      <c r="F27" s="1">
        <v>223.0</v>
      </c>
      <c r="H27" s="1">
        <v>223.0</v>
      </c>
      <c r="I27" s="2">
        <f t="shared" si="25"/>
        <v>223</v>
      </c>
      <c r="J27" s="2">
        <f t="shared" si="26"/>
        <v>4.8168</v>
      </c>
      <c r="K27" s="1">
        <v>4.82</v>
      </c>
    </row>
    <row r="30">
      <c r="C30" s="1">
        <v>1250.0</v>
      </c>
      <c r="D30" s="1">
        <v>27.0</v>
      </c>
      <c r="I30" s="1">
        <v>27.1</v>
      </c>
      <c r="J30" s="1">
        <v>1250.0</v>
      </c>
    </row>
    <row r="31">
      <c r="C31" s="1" t="s">
        <v>18</v>
      </c>
      <c r="D31" s="1" t="s">
        <v>19</v>
      </c>
      <c r="E31" s="1" t="s">
        <v>20</v>
      </c>
      <c r="F31" s="1" t="s">
        <v>17</v>
      </c>
      <c r="I31" s="1" t="s">
        <v>18</v>
      </c>
      <c r="J31" s="1" t="s">
        <v>19</v>
      </c>
      <c r="K31" s="1" t="s">
        <v>17</v>
      </c>
    </row>
    <row r="32">
      <c r="B32" s="1">
        <v>1.27</v>
      </c>
      <c r="C32" s="2">
        <f t="shared" ref="C32:C35" si="27">B32*$C$30</f>
        <v>1587.5</v>
      </c>
      <c r="D32" s="2">
        <f t="shared" ref="D32:D35" si="28">C32/$D$30</f>
        <v>58.7962963</v>
      </c>
      <c r="E32" s="2">
        <f t="shared" ref="E32:E35" si="29">floor(D32,1)</f>
        <v>58</v>
      </c>
      <c r="F32" s="1">
        <v>58.0</v>
      </c>
      <c r="H32" s="1">
        <v>58.0</v>
      </c>
      <c r="I32" s="2">
        <f t="shared" ref="I32:I35" si="30">H32*$I$30</f>
        <v>1571.8</v>
      </c>
      <c r="J32" s="2">
        <f t="shared" ref="J32:J35" si="31">I32/$J$30</f>
        <v>1.25744</v>
      </c>
      <c r="K32" s="1">
        <v>1.27</v>
      </c>
    </row>
    <row r="33">
      <c r="B33" s="1">
        <v>4.31</v>
      </c>
      <c r="C33" s="2">
        <f t="shared" si="27"/>
        <v>5387.5</v>
      </c>
      <c r="D33" s="2">
        <f t="shared" si="28"/>
        <v>199.537037</v>
      </c>
      <c r="E33" s="2">
        <f t="shared" si="29"/>
        <v>199</v>
      </c>
      <c r="F33" s="1">
        <v>199.0</v>
      </c>
      <c r="H33" s="1">
        <v>199.0</v>
      </c>
      <c r="I33" s="2">
        <f t="shared" si="30"/>
        <v>5392.9</v>
      </c>
      <c r="J33" s="2">
        <f t="shared" si="31"/>
        <v>4.31432</v>
      </c>
      <c r="K33" s="1">
        <v>4.31</v>
      </c>
    </row>
    <row r="34">
      <c r="B34" s="1">
        <v>0.34</v>
      </c>
      <c r="C34" s="2">
        <f t="shared" si="27"/>
        <v>425</v>
      </c>
      <c r="D34" s="2">
        <f t="shared" si="28"/>
        <v>15.74074074</v>
      </c>
      <c r="E34" s="2">
        <f t="shared" si="29"/>
        <v>15</v>
      </c>
      <c r="F34" s="1">
        <v>15.0</v>
      </c>
      <c r="H34" s="1">
        <v>15.0</v>
      </c>
      <c r="I34" s="2">
        <f t="shared" si="30"/>
        <v>406.5</v>
      </c>
      <c r="J34" s="2">
        <f t="shared" si="31"/>
        <v>0.3252</v>
      </c>
      <c r="K34" s="1">
        <v>0.34</v>
      </c>
    </row>
    <row r="35">
      <c r="B35" s="1">
        <v>4.82</v>
      </c>
      <c r="C35" s="2">
        <f t="shared" si="27"/>
        <v>6025</v>
      </c>
      <c r="D35" s="2">
        <f t="shared" si="28"/>
        <v>223.1481481</v>
      </c>
      <c r="E35" s="2">
        <f t="shared" si="29"/>
        <v>223</v>
      </c>
      <c r="F35" s="1">
        <v>223.0</v>
      </c>
      <c r="H35" s="1">
        <v>223.0</v>
      </c>
      <c r="I35" s="2">
        <f t="shared" si="30"/>
        <v>6043.3</v>
      </c>
      <c r="J35" s="2">
        <f t="shared" si="31"/>
        <v>4.83464</v>
      </c>
      <c r="K35" s="1">
        <v>4.82</v>
      </c>
    </row>
    <row r="38">
      <c r="D38" s="1" t="s">
        <v>23</v>
      </c>
      <c r="E38" s="1" t="s">
        <v>24</v>
      </c>
      <c r="F38" s="1" t="s">
        <v>25</v>
      </c>
      <c r="G38" s="3" t="s">
        <v>26</v>
      </c>
    </row>
    <row r="39">
      <c r="D39" s="1">
        <v>1.27</v>
      </c>
      <c r="E39" s="2">
        <f t="shared" ref="E39:E42" si="32">floor(D39*1250/27,1)</f>
        <v>58</v>
      </c>
      <c r="F39" s="2">
        <f t="shared" ref="F39:F42" si="33">E39*27/1250</f>
        <v>1.2528</v>
      </c>
      <c r="G39" s="2">
        <f t="shared" ref="G39:G42" si="34">(E39+1)*27/1250</f>
        <v>1.2744</v>
      </c>
    </row>
    <row r="40">
      <c r="D40" s="1">
        <v>4.31</v>
      </c>
      <c r="E40" s="2">
        <f t="shared" si="32"/>
        <v>199</v>
      </c>
      <c r="F40" s="2">
        <f t="shared" si="33"/>
        <v>4.2984</v>
      </c>
      <c r="G40" s="2">
        <f t="shared" si="34"/>
        <v>4.32</v>
      </c>
    </row>
    <row r="41">
      <c r="D41" s="1">
        <v>0.34</v>
      </c>
      <c r="E41" s="2">
        <f t="shared" si="32"/>
        <v>15</v>
      </c>
      <c r="F41" s="2">
        <f t="shared" si="33"/>
        <v>0.324</v>
      </c>
      <c r="G41" s="2">
        <f t="shared" si="34"/>
        <v>0.3456</v>
      </c>
    </row>
    <row r="42">
      <c r="D42" s="1">
        <v>4.82</v>
      </c>
      <c r="E42" s="2">
        <f t="shared" si="32"/>
        <v>223</v>
      </c>
      <c r="F42" s="2">
        <f t="shared" si="33"/>
        <v>4.8168</v>
      </c>
      <c r="G42" s="2">
        <f t="shared" si="34"/>
        <v>4.8384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27</v>
      </c>
      <c r="B1" s="1" t="s">
        <v>28</v>
      </c>
      <c r="C1" s="4" t="s">
        <v>29</v>
      </c>
      <c r="D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>
      <c r="A2" s="1" t="s">
        <v>35</v>
      </c>
      <c r="B2" s="1" t="s">
        <v>9</v>
      </c>
      <c r="C2" s="4">
        <f t="shared" ref="C2:C9" si="1">hex2dec(B2)</f>
        <v>58</v>
      </c>
      <c r="D2" s="1">
        <v>1.27</v>
      </c>
      <c r="F2" s="2">
        <f t="shared" ref="F2:F9" si="2">5.5/255</f>
        <v>0.02156862745</v>
      </c>
      <c r="G2" s="2">
        <f t="shared" ref="G2:G9" si="3">hex2dec(B2) * F2</f>
        <v>1.250980392</v>
      </c>
      <c r="H2" s="2">
        <f t="shared" ref="H2:H9" si="4">(hex2dec(B2) + 1) * F2</f>
        <v>1.27254902</v>
      </c>
      <c r="I2" s="2" t="b">
        <f t="shared" ref="I2:I9" si="5">or(D2&lt;G2,D2&gt;=H2)</f>
        <v>0</v>
      </c>
    </row>
    <row r="3">
      <c r="A3" s="1" t="s">
        <v>35</v>
      </c>
      <c r="B3" s="1" t="s">
        <v>10</v>
      </c>
      <c r="C3" s="4">
        <f t="shared" si="1"/>
        <v>199</v>
      </c>
      <c r="D3" s="1">
        <v>4.31</v>
      </c>
      <c r="F3" s="2">
        <f t="shared" si="2"/>
        <v>0.02156862745</v>
      </c>
      <c r="G3" s="2">
        <f t="shared" si="3"/>
        <v>4.292156863</v>
      </c>
      <c r="H3" s="2">
        <f t="shared" si="4"/>
        <v>4.31372549</v>
      </c>
      <c r="I3" s="2" t="b">
        <f t="shared" si="5"/>
        <v>0</v>
      </c>
    </row>
    <row r="4">
      <c r="A4" s="1" t="s">
        <v>35</v>
      </c>
      <c r="B4" s="1" t="s">
        <v>11</v>
      </c>
      <c r="C4" s="4">
        <f t="shared" si="1"/>
        <v>15</v>
      </c>
      <c r="D4" s="1">
        <v>0.34</v>
      </c>
      <c r="F4" s="2">
        <f t="shared" si="2"/>
        <v>0.02156862745</v>
      </c>
      <c r="G4" s="2">
        <f t="shared" si="3"/>
        <v>0.3235294118</v>
      </c>
      <c r="H4" s="2">
        <f t="shared" si="4"/>
        <v>0.3450980392</v>
      </c>
      <c r="I4" s="2" t="b">
        <f t="shared" si="5"/>
        <v>0</v>
      </c>
    </row>
    <row r="5">
      <c r="A5" s="1" t="s">
        <v>35</v>
      </c>
      <c r="B5" s="1" t="s">
        <v>12</v>
      </c>
      <c r="C5" s="4">
        <f t="shared" si="1"/>
        <v>223</v>
      </c>
      <c r="D5" s="1">
        <v>4.82</v>
      </c>
      <c r="F5" s="2">
        <f t="shared" si="2"/>
        <v>0.02156862745</v>
      </c>
      <c r="G5" s="2">
        <f t="shared" si="3"/>
        <v>4.809803922</v>
      </c>
      <c r="H5" s="2">
        <f t="shared" si="4"/>
        <v>4.831372549</v>
      </c>
      <c r="I5" s="2" t="b">
        <f t="shared" si="5"/>
        <v>0</v>
      </c>
    </row>
    <row r="6">
      <c r="A6" s="1" t="s">
        <v>36</v>
      </c>
      <c r="B6" s="3" t="s">
        <v>37</v>
      </c>
      <c r="C6" s="4">
        <f t="shared" si="1"/>
        <v>18</v>
      </c>
      <c r="D6" s="1">
        <v>0.3</v>
      </c>
      <c r="F6" s="2">
        <f t="shared" si="2"/>
        <v>0.02156862745</v>
      </c>
      <c r="G6" s="2">
        <f t="shared" si="3"/>
        <v>0.3882352941</v>
      </c>
      <c r="H6" s="2">
        <f t="shared" si="4"/>
        <v>0.4098039216</v>
      </c>
      <c r="I6" s="2" t="b">
        <f t="shared" si="5"/>
        <v>1</v>
      </c>
    </row>
    <row r="7">
      <c r="A7" s="1" t="s">
        <v>36</v>
      </c>
      <c r="B7" s="1" t="s">
        <v>38</v>
      </c>
      <c r="C7" s="4">
        <f t="shared" si="1"/>
        <v>31</v>
      </c>
      <c r="D7" s="1">
        <v>1.2</v>
      </c>
      <c r="F7" s="2">
        <f t="shared" si="2"/>
        <v>0.02156862745</v>
      </c>
      <c r="G7" s="2">
        <f t="shared" si="3"/>
        <v>0.668627451</v>
      </c>
      <c r="H7" s="2">
        <f t="shared" si="4"/>
        <v>0.6901960784</v>
      </c>
      <c r="I7" s="2" t="b">
        <f t="shared" si="5"/>
        <v>1</v>
      </c>
    </row>
    <row r="8">
      <c r="A8" s="1" t="s">
        <v>36</v>
      </c>
      <c r="B8" s="1" t="s">
        <v>39</v>
      </c>
      <c r="C8" s="4">
        <f t="shared" si="1"/>
        <v>194</v>
      </c>
      <c r="D8" s="1">
        <v>4.31</v>
      </c>
      <c r="F8" s="2">
        <f t="shared" si="2"/>
        <v>0.02156862745</v>
      </c>
      <c r="G8" s="2">
        <f t="shared" si="3"/>
        <v>4.184313725</v>
      </c>
      <c r="H8" s="2">
        <f t="shared" si="4"/>
        <v>4.205882353</v>
      </c>
      <c r="I8" s="2" t="b">
        <f t="shared" si="5"/>
        <v>1</v>
      </c>
    </row>
    <row r="9">
      <c r="A9" s="1" t="s">
        <v>36</v>
      </c>
      <c r="B9" s="1" t="s">
        <v>40</v>
      </c>
      <c r="C9" s="4">
        <f t="shared" si="1"/>
        <v>231</v>
      </c>
      <c r="D9" s="1">
        <v>5.0</v>
      </c>
      <c r="F9" s="2">
        <f t="shared" si="2"/>
        <v>0.02156862745</v>
      </c>
      <c r="G9" s="2">
        <f t="shared" si="3"/>
        <v>4.982352941</v>
      </c>
      <c r="H9" s="2">
        <f t="shared" si="4"/>
        <v>5.003921569</v>
      </c>
      <c r="I9" s="2" t="b">
        <f t="shared" si="5"/>
        <v>0</v>
      </c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6">
        <v>0.0</v>
      </c>
      <c r="B1" s="1">
        <v>1250.0</v>
      </c>
      <c r="C1" s="1">
        <v>27.0</v>
      </c>
      <c r="G1" s="1">
        <v>30.0</v>
      </c>
      <c r="I1" s="1">
        <f>5.5/255</f>
        <v>0.02156862745</v>
      </c>
    </row>
    <row r="2">
      <c r="A2" s="6" t="s">
        <v>41</v>
      </c>
      <c r="B2" s="1" t="s">
        <v>22</v>
      </c>
      <c r="C2" s="1" t="s">
        <v>16</v>
      </c>
      <c r="D2" s="1" t="s">
        <v>42</v>
      </c>
      <c r="E2" s="1" t="s">
        <v>1</v>
      </c>
      <c r="G2" s="1" t="s">
        <v>1</v>
      </c>
      <c r="H2" s="1" t="s">
        <v>2</v>
      </c>
      <c r="I2" s="1" t="s">
        <v>22</v>
      </c>
    </row>
    <row r="3">
      <c r="A3" s="6">
        <f t="shared" ref="A3:A35" si="1">A$1 + (row() - 3) / 100</f>
        <v>0</v>
      </c>
      <c r="B3" s="2">
        <f t="shared" ref="B3:B35" si="2">A3*B$1</f>
        <v>0</v>
      </c>
      <c r="C3" s="2">
        <f t="shared" ref="C3:C35" si="3">B3/C$1</f>
        <v>0</v>
      </c>
      <c r="D3" s="2">
        <f t="shared" ref="D3:D35" si="4">floor(C3,1)</f>
        <v>0</v>
      </c>
      <c r="E3" s="2" t="str">
        <f t="shared" ref="E3:E35" si="5">dec2hex(D3, 2)</f>
        <v>00</v>
      </c>
      <c r="G3" s="1" t="str">
        <f t="shared" ref="G3:G35" si="6">dec2hex(row() - 3 + G$1, 2)</f>
        <v>1E</v>
      </c>
      <c r="H3" s="2">
        <f t="shared" ref="H3:H35" si="7">hex2dec(G3)</f>
        <v>30</v>
      </c>
      <c r="I3" s="2">
        <f t="shared" ref="I3:I35" si="8">H3*I$1</f>
        <v>0.6470588235</v>
      </c>
    </row>
    <row r="4">
      <c r="A4" s="6">
        <f t="shared" si="1"/>
        <v>0.01</v>
      </c>
      <c r="B4" s="2">
        <f t="shared" si="2"/>
        <v>12.5</v>
      </c>
      <c r="C4" s="2">
        <f t="shared" si="3"/>
        <v>0.462962963</v>
      </c>
      <c r="D4" s="2">
        <f t="shared" si="4"/>
        <v>0</v>
      </c>
      <c r="E4" s="2" t="str">
        <f t="shared" si="5"/>
        <v>00</v>
      </c>
      <c r="G4" s="1" t="str">
        <f t="shared" si="6"/>
        <v>1F</v>
      </c>
      <c r="H4" s="2">
        <f t="shared" si="7"/>
        <v>31</v>
      </c>
      <c r="I4" s="2">
        <f t="shared" si="8"/>
        <v>0.668627451</v>
      </c>
    </row>
    <row r="5">
      <c r="A5" s="6">
        <f t="shared" si="1"/>
        <v>0.02</v>
      </c>
      <c r="B5" s="2">
        <f t="shared" si="2"/>
        <v>25</v>
      </c>
      <c r="C5" s="2">
        <f t="shared" si="3"/>
        <v>0.9259259259</v>
      </c>
      <c r="D5" s="2">
        <f t="shared" si="4"/>
        <v>0</v>
      </c>
      <c r="E5" s="2" t="str">
        <f t="shared" si="5"/>
        <v>00</v>
      </c>
      <c r="G5" s="1" t="str">
        <f t="shared" si="6"/>
        <v>20</v>
      </c>
      <c r="H5" s="2">
        <f t="shared" si="7"/>
        <v>32</v>
      </c>
      <c r="I5" s="2">
        <f t="shared" si="8"/>
        <v>0.6901960784</v>
      </c>
    </row>
    <row r="6">
      <c r="A6" s="6">
        <f t="shared" si="1"/>
        <v>0.03</v>
      </c>
      <c r="B6" s="2">
        <f t="shared" si="2"/>
        <v>37.5</v>
      </c>
      <c r="C6" s="2">
        <f t="shared" si="3"/>
        <v>1.388888889</v>
      </c>
      <c r="D6" s="2">
        <f t="shared" si="4"/>
        <v>1</v>
      </c>
      <c r="E6" s="2" t="str">
        <f t="shared" si="5"/>
        <v>01</v>
      </c>
      <c r="G6" s="1" t="str">
        <f t="shared" si="6"/>
        <v>21</v>
      </c>
      <c r="H6" s="2">
        <f t="shared" si="7"/>
        <v>33</v>
      </c>
      <c r="I6" s="2">
        <f t="shared" si="8"/>
        <v>0.7117647059</v>
      </c>
    </row>
    <row r="7">
      <c r="A7" s="6">
        <f t="shared" si="1"/>
        <v>0.04</v>
      </c>
      <c r="B7" s="2">
        <f t="shared" si="2"/>
        <v>50</v>
      </c>
      <c r="C7" s="2">
        <f t="shared" si="3"/>
        <v>1.851851852</v>
      </c>
      <c r="D7" s="2">
        <f t="shared" si="4"/>
        <v>1</v>
      </c>
      <c r="E7" s="2" t="str">
        <f t="shared" si="5"/>
        <v>01</v>
      </c>
      <c r="G7" s="1" t="str">
        <f t="shared" si="6"/>
        <v>22</v>
      </c>
      <c r="H7" s="2">
        <f t="shared" si="7"/>
        <v>34</v>
      </c>
      <c r="I7" s="2">
        <f t="shared" si="8"/>
        <v>0.7333333333</v>
      </c>
    </row>
    <row r="8">
      <c r="A8" s="6">
        <f t="shared" si="1"/>
        <v>0.05</v>
      </c>
      <c r="B8" s="2">
        <f t="shared" si="2"/>
        <v>62.5</v>
      </c>
      <c r="C8" s="2">
        <f t="shared" si="3"/>
        <v>2.314814815</v>
      </c>
      <c r="D8" s="2">
        <f t="shared" si="4"/>
        <v>2</v>
      </c>
      <c r="E8" s="2" t="str">
        <f t="shared" si="5"/>
        <v>02</v>
      </c>
      <c r="G8" s="1" t="str">
        <f t="shared" si="6"/>
        <v>23</v>
      </c>
      <c r="H8" s="2">
        <f t="shared" si="7"/>
        <v>35</v>
      </c>
      <c r="I8" s="2">
        <f t="shared" si="8"/>
        <v>0.7549019608</v>
      </c>
    </row>
    <row r="9">
      <c r="A9" s="6">
        <f t="shared" si="1"/>
        <v>0.06</v>
      </c>
      <c r="B9" s="2">
        <f t="shared" si="2"/>
        <v>75</v>
      </c>
      <c r="C9" s="2">
        <f t="shared" si="3"/>
        <v>2.777777778</v>
      </c>
      <c r="D9" s="2">
        <f t="shared" si="4"/>
        <v>2</v>
      </c>
      <c r="E9" s="2" t="str">
        <f t="shared" si="5"/>
        <v>02</v>
      </c>
      <c r="G9" s="1" t="str">
        <f t="shared" si="6"/>
        <v>24</v>
      </c>
      <c r="H9" s="2">
        <f t="shared" si="7"/>
        <v>36</v>
      </c>
      <c r="I9" s="2">
        <f t="shared" si="8"/>
        <v>0.7764705882</v>
      </c>
    </row>
    <row r="10">
      <c r="A10" s="6">
        <f t="shared" si="1"/>
        <v>0.07</v>
      </c>
      <c r="B10" s="2">
        <f t="shared" si="2"/>
        <v>87.5</v>
      </c>
      <c r="C10" s="2">
        <f t="shared" si="3"/>
        <v>3.240740741</v>
      </c>
      <c r="D10" s="2">
        <f t="shared" si="4"/>
        <v>3</v>
      </c>
      <c r="E10" s="2" t="str">
        <f t="shared" si="5"/>
        <v>03</v>
      </c>
      <c r="G10" s="1" t="str">
        <f t="shared" si="6"/>
        <v>25</v>
      </c>
      <c r="H10" s="2">
        <f t="shared" si="7"/>
        <v>37</v>
      </c>
      <c r="I10" s="2">
        <f t="shared" si="8"/>
        <v>0.7980392157</v>
      </c>
    </row>
    <row r="11">
      <c r="A11" s="6">
        <f t="shared" si="1"/>
        <v>0.08</v>
      </c>
      <c r="B11" s="2">
        <f t="shared" si="2"/>
        <v>100</v>
      </c>
      <c r="C11" s="2">
        <f t="shared" si="3"/>
        <v>3.703703704</v>
      </c>
      <c r="D11" s="2">
        <f t="shared" si="4"/>
        <v>3</v>
      </c>
      <c r="E11" s="2" t="str">
        <f t="shared" si="5"/>
        <v>03</v>
      </c>
      <c r="G11" s="1" t="str">
        <f t="shared" si="6"/>
        <v>26</v>
      </c>
      <c r="H11" s="2">
        <f t="shared" si="7"/>
        <v>38</v>
      </c>
      <c r="I11" s="2">
        <f t="shared" si="8"/>
        <v>0.8196078431</v>
      </c>
    </row>
    <row r="12">
      <c r="A12" s="6">
        <f t="shared" si="1"/>
        <v>0.09</v>
      </c>
      <c r="B12" s="2">
        <f t="shared" si="2"/>
        <v>112.5</v>
      </c>
      <c r="C12" s="2">
        <f t="shared" si="3"/>
        <v>4.166666667</v>
      </c>
      <c r="D12" s="2">
        <f t="shared" si="4"/>
        <v>4</v>
      </c>
      <c r="E12" s="2" t="str">
        <f t="shared" si="5"/>
        <v>04</v>
      </c>
      <c r="G12" s="1" t="str">
        <f t="shared" si="6"/>
        <v>27</v>
      </c>
      <c r="H12" s="2">
        <f t="shared" si="7"/>
        <v>39</v>
      </c>
      <c r="I12" s="2">
        <f t="shared" si="8"/>
        <v>0.8411764706</v>
      </c>
    </row>
    <row r="13">
      <c r="A13" s="6">
        <f t="shared" si="1"/>
        <v>0.1</v>
      </c>
      <c r="B13" s="2">
        <f t="shared" si="2"/>
        <v>125</v>
      </c>
      <c r="C13" s="2">
        <f t="shared" si="3"/>
        <v>4.62962963</v>
      </c>
      <c r="D13" s="2">
        <f t="shared" si="4"/>
        <v>4</v>
      </c>
      <c r="E13" s="2" t="str">
        <f t="shared" si="5"/>
        <v>04</v>
      </c>
      <c r="G13" s="1" t="str">
        <f t="shared" si="6"/>
        <v>28</v>
      </c>
      <c r="H13" s="2">
        <f t="shared" si="7"/>
        <v>40</v>
      </c>
      <c r="I13" s="2">
        <f t="shared" si="8"/>
        <v>0.862745098</v>
      </c>
    </row>
    <row r="14">
      <c r="A14" s="6">
        <f t="shared" si="1"/>
        <v>0.11</v>
      </c>
      <c r="B14" s="2">
        <f t="shared" si="2"/>
        <v>137.5</v>
      </c>
      <c r="C14" s="2">
        <f t="shared" si="3"/>
        <v>5.092592593</v>
      </c>
      <c r="D14" s="2">
        <f t="shared" si="4"/>
        <v>5</v>
      </c>
      <c r="E14" s="2" t="str">
        <f t="shared" si="5"/>
        <v>05</v>
      </c>
      <c r="G14" s="1" t="str">
        <f t="shared" si="6"/>
        <v>29</v>
      </c>
      <c r="H14" s="2">
        <f t="shared" si="7"/>
        <v>41</v>
      </c>
      <c r="I14" s="2">
        <f t="shared" si="8"/>
        <v>0.8843137255</v>
      </c>
    </row>
    <row r="15">
      <c r="A15" s="6">
        <f t="shared" si="1"/>
        <v>0.12</v>
      </c>
      <c r="B15" s="2">
        <f t="shared" si="2"/>
        <v>150</v>
      </c>
      <c r="C15" s="2">
        <f t="shared" si="3"/>
        <v>5.555555556</v>
      </c>
      <c r="D15" s="2">
        <f t="shared" si="4"/>
        <v>5</v>
      </c>
      <c r="E15" s="2" t="str">
        <f t="shared" si="5"/>
        <v>05</v>
      </c>
      <c r="G15" s="1" t="str">
        <f t="shared" si="6"/>
        <v>2A</v>
      </c>
      <c r="H15" s="2">
        <f t="shared" si="7"/>
        <v>42</v>
      </c>
      <c r="I15" s="2">
        <f t="shared" si="8"/>
        <v>0.9058823529</v>
      </c>
    </row>
    <row r="16">
      <c r="A16" s="6">
        <f t="shared" si="1"/>
        <v>0.13</v>
      </c>
      <c r="B16" s="2">
        <f t="shared" si="2"/>
        <v>162.5</v>
      </c>
      <c r="C16" s="2">
        <f t="shared" si="3"/>
        <v>6.018518519</v>
      </c>
      <c r="D16" s="2">
        <f t="shared" si="4"/>
        <v>6</v>
      </c>
      <c r="E16" s="2" t="str">
        <f t="shared" si="5"/>
        <v>06</v>
      </c>
      <c r="G16" s="1" t="str">
        <f t="shared" si="6"/>
        <v>2B</v>
      </c>
      <c r="H16" s="2">
        <f t="shared" si="7"/>
        <v>43</v>
      </c>
      <c r="I16" s="2">
        <f t="shared" si="8"/>
        <v>0.9274509804</v>
      </c>
    </row>
    <row r="17">
      <c r="A17" s="6">
        <f t="shared" si="1"/>
        <v>0.14</v>
      </c>
      <c r="B17" s="2">
        <f t="shared" si="2"/>
        <v>175</v>
      </c>
      <c r="C17" s="2">
        <f t="shared" si="3"/>
        <v>6.481481481</v>
      </c>
      <c r="D17" s="2">
        <f t="shared" si="4"/>
        <v>6</v>
      </c>
      <c r="E17" s="2" t="str">
        <f t="shared" si="5"/>
        <v>06</v>
      </c>
      <c r="G17" s="1" t="str">
        <f t="shared" si="6"/>
        <v>2C</v>
      </c>
      <c r="H17" s="2">
        <f t="shared" si="7"/>
        <v>44</v>
      </c>
      <c r="I17" s="2">
        <f t="shared" si="8"/>
        <v>0.9490196078</v>
      </c>
    </row>
    <row r="18">
      <c r="A18" s="6">
        <f t="shared" si="1"/>
        <v>0.15</v>
      </c>
      <c r="B18" s="2">
        <f t="shared" si="2"/>
        <v>187.5</v>
      </c>
      <c r="C18" s="2">
        <f t="shared" si="3"/>
        <v>6.944444444</v>
      </c>
      <c r="D18" s="2">
        <f t="shared" si="4"/>
        <v>6</v>
      </c>
      <c r="E18" s="2" t="str">
        <f t="shared" si="5"/>
        <v>06</v>
      </c>
      <c r="G18" s="1" t="str">
        <f t="shared" si="6"/>
        <v>2D</v>
      </c>
      <c r="H18" s="2">
        <f t="shared" si="7"/>
        <v>45</v>
      </c>
      <c r="I18" s="2">
        <f t="shared" si="8"/>
        <v>0.9705882353</v>
      </c>
    </row>
    <row r="19">
      <c r="A19" s="6">
        <f t="shared" si="1"/>
        <v>0.16</v>
      </c>
      <c r="B19" s="2">
        <f t="shared" si="2"/>
        <v>200</v>
      </c>
      <c r="C19" s="2">
        <f t="shared" si="3"/>
        <v>7.407407407</v>
      </c>
      <c r="D19" s="2">
        <f t="shared" si="4"/>
        <v>7</v>
      </c>
      <c r="E19" s="2" t="str">
        <f t="shared" si="5"/>
        <v>07</v>
      </c>
      <c r="G19" s="1" t="str">
        <f t="shared" si="6"/>
        <v>2E</v>
      </c>
      <c r="H19" s="2">
        <f t="shared" si="7"/>
        <v>46</v>
      </c>
      <c r="I19" s="2">
        <f t="shared" si="8"/>
        <v>0.9921568627</v>
      </c>
    </row>
    <row r="20">
      <c r="A20" s="6">
        <f t="shared" si="1"/>
        <v>0.17</v>
      </c>
      <c r="B20" s="2">
        <f t="shared" si="2"/>
        <v>212.5</v>
      </c>
      <c r="C20" s="2">
        <f t="shared" si="3"/>
        <v>7.87037037</v>
      </c>
      <c r="D20" s="2">
        <f t="shared" si="4"/>
        <v>7</v>
      </c>
      <c r="E20" s="2" t="str">
        <f t="shared" si="5"/>
        <v>07</v>
      </c>
      <c r="G20" s="1" t="str">
        <f t="shared" si="6"/>
        <v>2F</v>
      </c>
      <c r="H20" s="2">
        <f t="shared" si="7"/>
        <v>47</v>
      </c>
      <c r="I20" s="2">
        <f t="shared" si="8"/>
        <v>1.01372549</v>
      </c>
    </row>
    <row r="21">
      <c r="A21" s="6">
        <f t="shared" si="1"/>
        <v>0.18</v>
      </c>
      <c r="B21" s="2">
        <f t="shared" si="2"/>
        <v>225</v>
      </c>
      <c r="C21" s="2">
        <f t="shared" si="3"/>
        <v>8.333333333</v>
      </c>
      <c r="D21" s="2">
        <f t="shared" si="4"/>
        <v>8</v>
      </c>
      <c r="E21" s="2" t="str">
        <f t="shared" si="5"/>
        <v>08</v>
      </c>
      <c r="G21" s="1" t="str">
        <f t="shared" si="6"/>
        <v>30</v>
      </c>
      <c r="H21" s="2">
        <f t="shared" si="7"/>
        <v>48</v>
      </c>
      <c r="I21" s="2">
        <f t="shared" si="8"/>
        <v>1.035294118</v>
      </c>
    </row>
    <row r="22">
      <c r="A22" s="6">
        <f t="shared" si="1"/>
        <v>0.19</v>
      </c>
      <c r="B22" s="2">
        <f t="shared" si="2"/>
        <v>237.5</v>
      </c>
      <c r="C22" s="2">
        <f t="shared" si="3"/>
        <v>8.796296296</v>
      </c>
      <c r="D22" s="2">
        <f t="shared" si="4"/>
        <v>8</v>
      </c>
      <c r="E22" s="2" t="str">
        <f t="shared" si="5"/>
        <v>08</v>
      </c>
      <c r="G22" s="1" t="str">
        <f t="shared" si="6"/>
        <v>31</v>
      </c>
      <c r="H22" s="2">
        <f t="shared" si="7"/>
        <v>49</v>
      </c>
      <c r="I22" s="2">
        <f t="shared" si="8"/>
        <v>1.056862745</v>
      </c>
    </row>
    <row r="23">
      <c r="A23" s="6">
        <f t="shared" si="1"/>
        <v>0.2</v>
      </c>
      <c r="B23" s="2">
        <f t="shared" si="2"/>
        <v>250</v>
      </c>
      <c r="C23" s="2">
        <f t="shared" si="3"/>
        <v>9.259259259</v>
      </c>
      <c r="D23" s="2">
        <f t="shared" si="4"/>
        <v>9</v>
      </c>
      <c r="E23" s="2" t="str">
        <f t="shared" si="5"/>
        <v>09</v>
      </c>
      <c r="G23" s="1" t="str">
        <f t="shared" si="6"/>
        <v>32</v>
      </c>
      <c r="H23" s="2">
        <f t="shared" si="7"/>
        <v>50</v>
      </c>
      <c r="I23" s="2">
        <f t="shared" si="8"/>
        <v>1.078431373</v>
      </c>
    </row>
    <row r="24">
      <c r="A24" s="6">
        <f t="shared" si="1"/>
        <v>0.21</v>
      </c>
      <c r="B24" s="2">
        <f t="shared" si="2"/>
        <v>262.5</v>
      </c>
      <c r="C24" s="2">
        <f t="shared" si="3"/>
        <v>9.722222222</v>
      </c>
      <c r="D24" s="2">
        <f t="shared" si="4"/>
        <v>9</v>
      </c>
      <c r="E24" s="2" t="str">
        <f t="shared" si="5"/>
        <v>09</v>
      </c>
      <c r="G24" s="1" t="str">
        <f t="shared" si="6"/>
        <v>33</v>
      </c>
      <c r="H24" s="2">
        <f t="shared" si="7"/>
        <v>51</v>
      </c>
      <c r="I24" s="2">
        <f t="shared" si="8"/>
        <v>1.1</v>
      </c>
    </row>
    <row r="25">
      <c r="A25" s="6">
        <f t="shared" si="1"/>
        <v>0.22</v>
      </c>
      <c r="B25" s="2">
        <f t="shared" si="2"/>
        <v>275</v>
      </c>
      <c r="C25" s="2">
        <f t="shared" si="3"/>
        <v>10.18518519</v>
      </c>
      <c r="D25" s="2">
        <f t="shared" si="4"/>
        <v>10</v>
      </c>
      <c r="E25" s="2" t="str">
        <f t="shared" si="5"/>
        <v>0A</v>
      </c>
      <c r="G25" s="1" t="str">
        <f t="shared" si="6"/>
        <v>34</v>
      </c>
      <c r="H25" s="2">
        <f t="shared" si="7"/>
        <v>52</v>
      </c>
      <c r="I25" s="2">
        <f t="shared" si="8"/>
        <v>1.121568627</v>
      </c>
    </row>
    <row r="26">
      <c r="A26" s="6">
        <f t="shared" si="1"/>
        <v>0.23</v>
      </c>
      <c r="B26" s="2">
        <f t="shared" si="2"/>
        <v>287.5</v>
      </c>
      <c r="C26" s="2">
        <f t="shared" si="3"/>
        <v>10.64814815</v>
      </c>
      <c r="D26" s="2">
        <f t="shared" si="4"/>
        <v>10</v>
      </c>
      <c r="E26" s="2" t="str">
        <f t="shared" si="5"/>
        <v>0A</v>
      </c>
      <c r="G26" s="1" t="str">
        <f t="shared" si="6"/>
        <v>35</v>
      </c>
      <c r="H26" s="2">
        <f t="shared" si="7"/>
        <v>53</v>
      </c>
      <c r="I26" s="2">
        <f t="shared" si="8"/>
        <v>1.143137255</v>
      </c>
    </row>
    <row r="27">
      <c r="A27" s="6">
        <f t="shared" si="1"/>
        <v>0.24</v>
      </c>
      <c r="B27" s="2">
        <f t="shared" si="2"/>
        <v>300</v>
      </c>
      <c r="C27" s="2">
        <f t="shared" si="3"/>
        <v>11.11111111</v>
      </c>
      <c r="D27" s="2">
        <f t="shared" si="4"/>
        <v>11</v>
      </c>
      <c r="E27" s="2" t="str">
        <f t="shared" si="5"/>
        <v>0B</v>
      </c>
      <c r="G27" s="1" t="str">
        <f t="shared" si="6"/>
        <v>36</v>
      </c>
      <c r="H27" s="2">
        <f t="shared" si="7"/>
        <v>54</v>
      </c>
      <c r="I27" s="2">
        <f t="shared" si="8"/>
        <v>1.164705882</v>
      </c>
    </row>
    <row r="28">
      <c r="A28" s="6">
        <f t="shared" si="1"/>
        <v>0.25</v>
      </c>
      <c r="B28" s="2">
        <f t="shared" si="2"/>
        <v>312.5</v>
      </c>
      <c r="C28" s="2">
        <f t="shared" si="3"/>
        <v>11.57407407</v>
      </c>
      <c r="D28" s="2">
        <f t="shared" si="4"/>
        <v>11</v>
      </c>
      <c r="E28" s="2" t="str">
        <f t="shared" si="5"/>
        <v>0B</v>
      </c>
      <c r="G28" s="1" t="str">
        <f t="shared" si="6"/>
        <v>37</v>
      </c>
      <c r="H28" s="2">
        <f t="shared" si="7"/>
        <v>55</v>
      </c>
      <c r="I28" s="2">
        <f t="shared" si="8"/>
        <v>1.18627451</v>
      </c>
    </row>
    <row r="29">
      <c r="A29" s="6">
        <f t="shared" si="1"/>
        <v>0.26</v>
      </c>
      <c r="B29" s="2">
        <f t="shared" si="2"/>
        <v>325</v>
      </c>
      <c r="C29" s="2">
        <f t="shared" si="3"/>
        <v>12.03703704</v>
      </c>
      <c r="D29" s="2">
        <f t="shared" si="4"/>
        <v>12</v>
      </c>
      <c r="E29" s="2" t="str">
        <f t="shared" si="5"/>
        <v>0C</v>
      </c>
      <c r="G29" s="1" t="str">
        <f t="shared" si="6"/>
        <v>38</v>
      </c>
      <c r="H29" s="2">
        <f t="shared" si="7"/>
        <v>56</v>
      </c>
      <c r="I29" s="2">
        <f t="shared" si="8"/>
        <v>1.207843137</v>
      </c>
    </row>
    <row r="30">
      <c r="A30" s="6">
        <f t="shared" si="1"/>
        <v>0.27</v>
      </c>
      <c r="B30" s="2">
        <f t="shared" si="2"/>
        <v>337.5</v>
      </c>
      <c r="C30" s="2">
        <f t="shared" si="3"/>
        <v>12.5</v>
      </c>
      <c r="D30" s="2">
        <f t="shared" si="4"/>
        <v>12</v>
      </c>
      <c r="E30" s="2" t="str">
        <f t="shared" si="5"/>
        <v>0C</v>
      </c>
      <c r="G30" s="1" t="str">
        <f t="shared" si="6"/>
        <v>39</v>
      </c>
      <c r="H30" s="2">
        <f t="shared" si="7"/>
        <v>57</v>
      </c>
      <c r="I30" s="2">
        <f t="shared" si="8"/>
        <v>1.229411765</v>
      </c>
    </row>
    <row r="31">
      <c r="A31" s="6">
        <f t="shared" si="1"/>
        <v>0.28</v>
      </c>
      <c r="B31" s="2">
        <f t="shared" si="2"/>
        <v>350</v>
      </c>
      <c r="C31" s="2">
        <f t="shared" si="3"/>
        <v>12.96296296</v>
      </c>
      <c r="D31" s="2">
        <f t="shared" si="4"/>
        <v>12</v>
      </c>
      <c r="E31" s="2" t="str">
        <f t="shared" si="5"/>
        <v>0C</v>
      </c>
      <c r="G31" s="1" t="str">
        <f t="shared" si="6"/>
        <v>3A</v>
      </c>
      <c r="H31" s="2">
        <f t="shared" si="7"/>
        <v>58</v>
      </c>
      <c r="I31" s="2">
        <f t="shared" si="8"/>
        <v>1.250980392</v>
      </c>
    </row>
    <row r="32">
      <c r="A32" s="6">
        <f t="shared" si="1"/>
        <v>0.29</v>
      </c>
      <c r="B32" s="2">
        <f t="shared" si="2"/>
        <v>362.5</v>
      </c>
      <c r="C32" s="2">
        <f t="shared" si="3"/>
        <v>13.42592593</v>
      </c>
      <c r="D32" s="2">
        <f t="shared" si="4"/>
        <v>13</v>
      </c>
      <c r="E32" s="2" t="str">
        <f t="shared" si="5"/>
        <v>0D</v>
      </c>
      <c r="G32" s="1" t="str">
        <f t="shared" si="6"/>
        <v>3B</v>
      </c>
      <c r="H32" s="2">
        <f t="shared" si="7"/>
        <v>59</v>
      </c>
      <c r="I32" s="2">
        <f t="shared" si="8"/>
        <v>1.27254902</v>
      </c>
    </row>
    <row r="33">
      <c r="A33" s="6">
        <f t="shared" si="1"/>
        <v>0.3</v>
      </c>
      <c r="B33" s="2">
        <f t="shared" si="2"/>
        <v>375</v>
      </c>
      <c r="C33" s="2">
        <f t="shared" si="3"/>
        <v>13.88888889</v>
      </c>
      <c r="D33" s="2">
        <f t="shared" si="4"/>
        <v>13</v>
      </c>
      <c r="E33" s="2" t="str">
        <f t="shared" si="5"/>
        <v>0D</v>
      </c>
      <c r="G33" s="1" t="str">
        <f t="shared" si="6"/>
        <v>3C</v>
      </c>
      <c r="H33" s="2">
        <f t="shared" si="7"/>
        <v>60</v>
      </c>
      <c r="I33" s="2">
        <f t="shared" si="8"/>
        <v>1.294117647</v>
      </c>
    </row>
    <row r="34">
      <c r="A34" s="6">
        <f t="shared" si="1"/>
        <v>0.31</v>
      </c>
      <c r="B34" s="2">
        <f t="shared" si="2"/>
        <v>387.5</v>
      </c>
      <c r="C34" s="2">
        <f t="shared" si="3"/>
        <v>14.35185185</v>
      </c>
      <c r="D34" s="2">
        <f t="shared" si="4"/>
        <v>14</v>
      </c>
      <c r="E34" s="2" t="str">
        <f t="shared" si="5"/>
        <v>0E</v>
      </c>
      <c r="G34" s="1" t="str">
        <f t="shared" si="6"/>
        <v>3D</v>
      </c>
      <c r="H34" s="2">
        <f t="shared" si="7"/>
        <v>61</v>
      </c>
      <c r="I34" s="2">
        <f t="shared" si="8"/>
        <v>1.315686275</v>
      </c>
    </row>
    <row r="35">
      <c r="A35" s="6">
        <f t="shared" si="1"/>
        <v>0.32</v>
      </c>
      <c r="B35" s="2">
        <f t="shared" si="2"/>
        <v>400</v>
      </c>
      <c r="C35" s="2">
        <f t="shared" si="3"/>
        <v>14.81481481</v>
      </c>
      <c r="D35" s="2">
        <f t="shared" si="4"/>
        <v>14</v>
      </c>
      <c r="E35" s="2" t="str">
        <f t="shared" si="5"/>
        <v>0E</v>
      </c>
      <c r="G35" s="1" t="str">
        <f t="shared" si="6"/>
        <v>3E</v>
      </c>
      <c r="H35" s="2">
        <f t="shared" si="7"/>
        <v>62</v>
      </c>
      <c r="I35" s="2">
        <f t="shared" si="8"/>
        <v>1.337254902</v>
      </c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</sheetData>
  <drawing r:id="rId1"/>
</worksheet>
</file>